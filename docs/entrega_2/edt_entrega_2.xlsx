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lejandrodinamarcacaceres/dev/gpi/docs/entrega_2/"/>
    </mc:Choice>
  </mc:AlternateContent>
  <xr:revisionPtr revIDLastSave="0" documentId="13_ncr:1_{B5004B55-6006-764D-A8FE-2251CF138DBD}" xr6:coauthVersionLast="47" xr6:coauthVersionMax="47" xr10:uidLastSave="{00000000-0000-0000-0000-000000000000}"/>
  <bookViews>
    <workbookView xWindow="0" yWindow="800" windowWidth="36000" windowHeight="22580" xr2:uid="{00000000-000D-0000-FFFF-FFFF00000000}"/>
  </bookViews>
  <sheets>
    <sheet name="Cronogr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<sst xmlns="http://schemas.openxmlformats.org/spreadsheetml/2006/main" count="228" uniqueCount="145">
  <si>
    <t>Cronograma del Proyecto — Consultorio Digital</t>
  </si>
  <si>
    <t>ICI-513 Gestión de Proyectos Informáticos · Universidad de Valparaíso · Fecha base: 10-03-2026 · Dedicación part-time: ~2 h/día por persona responsable</t>
  </si>
  <si>
    <t>N° EDT</t>
  </si>
  <si>
    <t>Etapa</t>
  </si>
  <si>
    <t>Nombre de Tarea</t>
  </si>
  <si>
    <t>Responsable</t>
  </si>
  <si>
    <t>Inicio Planificado</t>
  </si>
  <si>
    <t>Término Planificado</t>
  </si>
  <si>
    <t>Dependencia (EDT)</t>
  </si>
  <si>
    <t>Progreso (%)</t>
  </si>
  <si>
    <t>Progreso Real (%)</t>
  </si>
  <si>
    <t>Desviación (%)</t>
  </si>
  <si>
    <t>Duración (h)</t>
  </si>
  <si>
    <t>Descripción</t>
  </si>
  <si>
    <t>1</t>
  </si>
  <si>
    <t>Inicio / Planificación</t>
  </si>
  <si>
    <t>Todos</t>
  </si>
  <si>
    <t>—</t>
  </si>
  <si>
    <t>Fase inicial: definición del alcance y planificación del proyecto.</t>
  </si>
  <si>
    <t>1.1</t>
  </si>
  <si>
    <t>Estudio de Factibilidad</t>
  </si>
  <si>
    <t>Alejandro Dinamarca</t>
  </si>
  <si>
    <t>Análisis de viabilidad técnica, económica y operacional del sistema.</t>
  </si>
  <si>
    <t>1.2</t>
  </si>
  <si>
    <t>Caso de Negocio</t>
  </si>
  <si>
    <t>Alexandra Carrasco</t>
  </si>
  <si>
    <t>Descripción del problema, solución propuesta, beneficios y stakeholders.</t>
  </si>
  <si>
    <t>1.3</t>
  </si>
  <si>
    <t>Planificación del Proyecto</t>
  </si>
  <si>
    <t>Ricardo Silva</t>
  </si>
  <si>
    <t>Definición de hitos, EDT, cronograma y asignación de recursos.</t>
  </si>
  <si>
    <t>2</t>
  </si>
  <si>
    <t>Análisis de Requisitos</t>
  </si>
  <si>
    <t>Levantamiento y documentación de todos los requisitos del sistema.</t>
  </si>
  <si>
    <t>2.1</t>
  </si>
  <si>
    <t>Levantamiento de Requisitos</t>
  </si>
  <si>
    <t>Lucas Rojas</t>
  </si>
  <si>
    <t>Entrevistas con stakeholders, casos de uso y requisitos funcionales.</t>
  </si>
  <si>
    <t>2.2</t>
  </si>
  <si>
    <t>Planificación de Seguridad</t>
  </si>
  <si>
    <t>Allan Gálvez</t>
  </si>
  <si>
    <t>Definición de políticas de autenticación, autorización y protección de datos.</t>
  </si>
  <si>
    <t>2.3</t>
  </si>
  <si>
    <t>Análisis de Requisitos Completado</t>
  </si>
  <si>
    <t>HITO: Revisión y aprobación formal del documento de requisitos.</t>
  </si>
  <si>
    <t>3</t>
  </si>
  <si>
    <t>Diseño</t>
  </si>
  <si>
    <t>Diseño de la arquitectura y prototipos de la solución.</t>
  </si>
  <si>
    <t>3.1</t>
  </si>
  <si>
    <t>Diseño de Alto Nivel</t>
  </si>
  <si>
    <t>Definición de la arquitectura general: Django, SQLite, Bootstrap.</t>
  </si>
  <si>
    <t>3.2</t>
  </si>
  <si>
    <t>Prueba de Concepto</t>
  </si>
  <si>
    <t>Prototipo navegable en Figma con flujos principales del paciente y profesional.</t>
  </si>
  <si>
    <t>3.3</t>
  </si>
  <si>
    <t>Diseño Detallado</t>
  </si>
  <si>
    <t>Diseño detallado de módulos, vistas, endpoints y modelo de datos.</t>
  </si>
  <si>
    <t>3.4</t>
  </si>
  <si>
    <t>Especificación Técnica</t>
  </si>
  <si>
    <t>Documentación técnica de URLs, modelos y especificaciones de seguridad.</t>
  </si>
  <si>
    <t>3.5</t>
  </si>
  <si>
    <t>Diseño Completado</t>
  </si>
  <si>
    <t>HITO: Revisión y aprobación formal del diseño.</t>
  </si>
  <si>
    <t>4</t>
  </si>
  <si>
    <t>Desarrollo</t>
  </si>
  <si>
    <t>Implementación del sistema según el diseño aprobado.</t>
  </si>
  <si>
    <t>4.1</t>
  </si>
  <si>
    <t>Creación de Ambientes</t>
  </si>
  <si>
    <t>Configuración de entornos de desarrollo local y producción con Django.</t>
  </si>
  <si>
    <t>4.2</t>
  </si>
  <si>
    <t>Creación de Base de Datos</t>
  </si>
  <si>
    <t>Creación y migración del esquema SQLite; carga de datos geográficos.</t>
  </si>
  <si>
    <t>4.3</t>
  </si>
  <si>
    <t>Configuraciones Adicionales</t>
  </si>
  <si>
    <t>Configuración de variables de entorno, CORS, autenticación y servicios.</t>
  </si>
  <si>
    <t>4.4</t>
  </si>
  <si>
    <t>Maquetación de Pantallas</t>
  </si>
  <si>
    <t>Maquetación de templates HTML con Bootstrap según prototipos aprobados.</t>
  </si>
  <si>
    <t>4.5</t>
  </si>
  <si>
    <t>Desarrollo Frontend (Templates)</t>
  </si>
  <si>
    <t>Implementación de templates Django y lógica JS para flujos del usuario.</t>
  </si>
  <si>
    <t>4.6</t>
  </si>
  <si>
    <t>Desarrollo Backend</t>
  </si>
  <si>
    <t>Desarrollo de vistas, modelos y lógica de negocio con Django.</t>
  </si>
  <si>
    <t>4.7</t>
  </si>
  <si>
    <t>Integración Frontend-Backend</t>
  </si>
  <si>
    <t>Integración de templates con vistas Django; ajustes de UX y validación.</t>
  </si>
  <si>
    <t>4.8</t>
  </si>
  <si>
    <t>Planificación de la Calidad</t>
  </si>
  <si>
    <t>Definición de criterios de calidad, métricas y plan de pruebas.</t>
  </si>
  <si>
    <t>5</t>
  </si>
  <si>
    <t>Aseguramiento de Calidad</t>
  </si>
  <si>
    <t>Verificación y validación del sistema construido.</t>
  </si>
  <si>
    <t>5.1</t>
  </si>
  <si>
    <t>Prueba Unitaria</t>
  </si>
  <si>
    <t>Pruebas de funciones individuales con pytest y Django TestCase.</t>
  </si>
  <si>
    <t>5.2</t>
  </si>
  <si>
    <t>Prueba Funcional</t>
  </si>
  <si>
    <t>Pruebas de flujos completos según criterios de aceptación.</t>
  </si>
  <si>
    <t>5.3</t>
  </si>
  <si>
    <t>Prueba de Integración</t>
  </si>
  <si>
    <t>Pruebas de integración entre vistas, modelos y base de datos.</t>
  </si>
  <si>
    <t>5.4</t>
  </si>
  <si>
    <t>Prueba de Regresión</t>
  </si>
  <si>
    <t>Verificación de que cambios no rompan funcionalidades previas.</t>
  </si>
  <si>
    <t>5.5</t>
  </si>
  <si>
    <t>Prueba de Sistema</t>
  </si>
  <si>
    <t>Prueba del sistema completo en ambiente de staging.</t>
  </si>
  <si>
    <t>5.6</t>
  </si>
  <si>
    <t>Prueba de Aceptación de Usuario</t>
  </si>
  <si>
    <t>Validación por parte de usuarios representativos del sistema.</t>
  </si>
  <si>
    <t>5.7</t>
  </si>
  <si>
    <t>Sistema Aprobado para Despliegue</t>
  </si>
  <si>
    <t>HITO: Sistema validado y autorizado para pasar a producción.</t>
  </si>
  <si>
    <t>6</t>
  </si>
  <si>
    <t>Implementación</t>
  </si>
  <si>
    <t>Despliegue y puesta en marcha del sistema en producción.</t>
  </si>
  <si>
    <t>6.1</t>
  </si>
  <si>
    <t>Despliegue en Producción</t>
  </si>
  <si>
    <t>Despliegue en servidor de producción con configuración final.</t>
  </si>
  <si>
    <t>6.2</t>
  </si>
  <si>
    <t>Capacitación a Usuarios</t>
  </si>
  <si>
    <t>Capacitación a pacientes de prueba y personal administrativo.</t>
  </si>
  <si>
    <t>6.3</t>
  </si>
  <si>
    <t>Soporte Post-Despliegue</t>
  </si>
  <si>
    <t>Soporte post-despliegue y corrección de incidencias iniciales.</t>
  </si>
  <si>
    <t>7</t>
  </si>
  <si>
    <t>Operaciones</t>
  </si>
  <si>
    <t>Operación controlada del sistema antes del cierre formal.</t>
  </si>
  <si>
    <t>7.1</t>
  </si>
  <si>
    <t>Marcha Blanca</t>
  </si>
  <si>
    <t>Período de operación supervisada para detectar errores en producción.</t>
  </si>
  <si>
    <t>7.2</t>
  </si>
  <si>
    <t>Corrección de Incidencias</t>
  </si>
  <si>
    <t>Resolución de errores detectados durante la marcha blanca.</t>
  </si>
  <si>
    <t>8</t>
  </si>
  <si>
    <t>Cierre</t>
  </si>
  <si>
    <t>Cierre formal del proyecto y entrega de documentación.</t>
  </si>
  <si>
    <t>8.1</t>
  </si>
  <si>
    <t>Documentación Final</t>
  </si>
  <si>
    <t>Manual de usuario, manual técnico y documentación del código.</t>
  </si>
  <si>
    <t>8.2</t>
  </si>
  <si>
    <t>Cierre Formal del Proyecto</t>
  </si>
  <si>
    <t>HITO: Acta de cierre, lecciones aprendidas y entrega al cliente.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</si>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</sst>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&quot;%&quot;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sz val="10"/>
      <color rgb="FF1F3864"/>
      <name val="Calibri"/>
    </font>
    <font>
      <b/>
      <sz val="10"/>
      <color rgb="FF7F5000"/>
      <name val="Calibri"/>
    </font>
    <font>
      <b/>
      <sz val="10"/>
      <color rgb="FF1F386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0F5FA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D6E4B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workbookViewId="0">
      <pane ySplit="3" topLeftCell="A4" activePane="bottomLeft" state="frozen"/>
      <selection pane="bottomLeft" activeCell="J25" sqref="J25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38" customWidth="1"/>
    <col min="4" max="4" width="22" customWidth="1"/>
    <col min="5" max="6" width="18" customWidth="1"/>
    <col min="7" max="7" width="16" customWidth="1"/>
    <col min="8" max="8" width="12" customWidth="1"/>
    <col min="9" max="9" width="14" customWidth="1"/>
    <col min="10" max="11" width="12" customWidth="1"/>
    <col min="12" max="12" width="50" customWidth="1"/>
  </cols>
  <sheetData>
    <row r="1" spans="1:12" ht="22" customHeight="1" x14ac:dyDescent="0.2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4" customHeight="1" x14ac:dyDescent="0.2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4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30" customHeight="1" x14ac:dyDescent="0.2">
      <c r="A4" s="1" t="s">
        <v>14</v>
      </c>
      <c r="B4" s="2" t="s">
        <v>15</v>
      </c>
      <c r="C4" s="2" t="s">
        <v>15</v>
      </c>
      <c r="D4" s="2" t="s">
        <v>16</v>
      </c>
      <c r="E4" s="3">
        <v>46091</v>
      </c>
      <c r="F4" s="3">
        <v>46103</v>
      </c>
      <c r="G4" s="1" t="s">
        <v>17</v>
      </c>
      <c r="H4" s="15">
        <v>100</v>
      </c>
      <c r="I4" s="15">
        <v>100</v>
      </c>
      <c r="J4" s="15">
        <f>I4-H4</f>
        <v>0</v>
      </c>
      <c r="K4" s="1">
        <v>24</v>
      </c>
      <c r="L4" s="2" t="s">
        <v>18</v>
      </c>
    </row>
    <row r="5" spans="1:12" ht="30" customHeight="1" x14ac:dyDescent="0.2">
      <c r="A5" s="4" t="s">
        <v>19</v>
      </c>
      <c r="B5" s="5"/>
      <c r="C5" s="5" t="s">
        <v>20</v>
      </c>
      <c r="D5" s="5" t="s">
        <v>21</v>
      </c>
      <c r="E5" s="6">
        <v>46091</v>
      </c>
      <c r="F5" s="6">
        <v>46094</v>
      </c>
      <c r="G5" s="4" t="s">
        <v>17</v>
      </c>
      <c r="H5" s="16">
        <v>100</v>
      </c>
      <c r="I5" s="16">
        <v>100</v>
      </c>
      <c r="J5" s="16">
        <f t="shared" ref="J5:J44" si="0">I5-H5</f>
        <v>0</v>
      </c>
      <c r="K5" s="4">
        <v>8</v>
      </c>
      <c r="L5" s="5" t="s">
        <v>22</v>
      </c>
    </row>
    <row r="6" spans="1:12" ht="30" customHeight="1" x14ac:dyDescent="0.2">
      <c r="A6" s="7" t="s">
        <v>23</v>
      </c>
      <c r="B6" s="8"/>
      <c r="C6" s="8" t="s">
        <v>24</v>
      </c>
      <c r="D6" s="8" t="s">
        <v>25</v>
      </c>
      <c r="E6" s="9">
        <v>46095</v>
      </c>
      <c r="F6" s="9">
        <v>46098</v>
      </c>
      <c r="G6" s="7" t="s">
        <v>19</v>
      </c>
      <c r="H6" s="17">
        <v>100</v>
      </c>
      <c r="I6" s="17">
        <v>100</v>
      </c>
      <c r="J6" s="16">
        <f t="shared" si="0"/>
        <v>0</v>
      </c>
      <c r="K6" s="7">
        <v>8</v>
      </c>
      <c r="L6" s="8" t="s">
        <v>26</v>
      </c>
    </row>
    <row r="7" spans="1:12" ht="30" customHeight="1" x14ac:dyDescent="0.2">
      <c r="A7" s="4" t="s">
        <v>27</v>
      </c>
      <c r="B7" s="5"/>
      <c r="C7" s="5" t="s">
        <v>28</v>
      </c>
      <c r="D7" s="5" t="s">
        <v>29</v>
      </c>
      <c r="E7" s="6">
        <v>46099</v>
      </c>
      <c r="F7" s="6">
        <v>46103</v>
      </c>
      <c r="G7" s="4" t="s">
        <v>23</v>
      </c>
      <c r="H7" s="16">
        <v>100</v>
      </c>
      <c r="I7" s="16">
        <v>100</v>
      </c>
      <c r="J7" s="16">
        <f t="shared" si="0"/>
        <v>0</v>
      </c>
      <c r="K7" s="4">
        <v>8</v>
      </c>
      <c r="L7" s="5" t="s">
        <v>30</v>
      </c>
    </row>
    <row r="8" spans="1:12" ht="30" customHeight="1" x14ac:dyDescent="0.2">
      <c r="A8" s="1" t="s">
        <v>31</v>
      </c>
      <c r="B8" s="2" t="s">
        <v>32</v>
      </c>
      <c r="C8" s="2" t="s">
        <v>32</v>
      </c>
      <c r="D8" s="2" t="s">
        <v>16</v>
      </c>
      <c r="E8" s="3">
        <v>46104</v>
      </c>
      <c r="F8" s="3">
        <v>46118</v>
      </c>
      <c r="G8" s="1" t="s">
        <v>27</v>
      </c>
      <c r="H8" s="15">
        <v>100</v>
      </c>
      <c r="I8" s="15">
        <v>100</v>
      </c>
      <c r="J8" s="15">
        <f t="shared" si="0"/>
        <v>0</v>
      </c>
      <c r="K8" s="1">
        <v>16</v>
      </c>
      <c r="L8" s="2" t="s">
        <v>33</v>
      </c>
    </row>
    <row r="9" spans="1:12" ht="30" customHeight="1" x14ac:dyDescent="0.2">
      <c r="A9" s="4" t="s">
        <v>34</v>
      </c>
      <c r="B9" s="5"/>
      <c r="C9" s="5" t="s">
        <v>35</v>
      </c>
      <c r="D9" s="5" t="s">
        <v>36</v>
      </c>
      <c r="E9" s="6">
        <v>46104</v>
      </c>
      <c r="F9" s="6">
        <v>46110</v>
      </c>
      <c r="G9" s="4" t="s">
        <v>27</v>
      </c>
      <c r="H9" s="16">
        <v>100</v>
      </c>
      <c r="I9" s="16">
        <v>100</v>
      </c>
      <c r="J9" s="16">
        <f t="shared" si="0"/>
        <v>0</v>
      </c>
      <c r="K9" s="4">
        <v>8</v>
      </c>
      <c r="L9" s="5" t="s">
        <v>37</v>
      </c>
    </row>
    <row r="10" spans="1:12" ht="30" customHeight="1" x14ac:dyDescent="0.2">
      <c r="A10" s="7" t="s">
        <v>38</v>
      </c>
      <c r="B10" s="8"/>
      <c r="C10" s="8" t="s">
        <v>39</v>
      </c>
      <c r="D10" s="8" t="s">
        <v>40</v>
      </c>
      <c r="E10" s="9">
        <v>46111</v>
      </c>
      <c r="F10" s="9">
        <v>46115</v>
      </c>
      <c r="G10" s="7" t="s">
        <v>34</v>
      </c>
      <c r="H10" s="17">
        <v>100</v>
      </c>
      <c r="I10" s="17">
        <v>100</v>
      </c>
      <c r="J10" s="17">
        <f t="shared" si="0"/>
        <v>0</v>
      </c>
      <c r="K10" s="7">
        <v>8</v>
      </c>
      <c r="L10" s="8" t="s">
        <v>41</v>
      </c>
    </row>
    <row r="11" spans="1:12" ht="30" customHeight="1" x14ac:dyDescent="0.2">
      <c r="A11" s="10" t="s">
        <v>42</v>
      </c>
      <c r="B11" s="11"/>
      <c r="C11" s="11" t="s">
        <v>43</v>
      </c>
      <c r="D11" s="11" t="s">
        <v>21</v>
      </c>
      <c r="E11" s="12">
        <v>46118</v>
      </c>
      <c r="F11" s="12">
        <v>46118</v>
      </c>
      <c r="G11" s="10" t="s">
        <v>38</v>
      </c>
      <c r="H11" s="18">
        <v>100</v>
      </c>
      <c r="I11" s="18">
        <v>100</v>
      </c>
      <c r="J11" s="18">
        <f t="shared" si="0"/>
        <v>0</v>
      </c>
      <c r="K11" s="10">
        <v>0</v>
      </c>
      <c r="L11" s="11" t="s">
        <v>44</v>
      </c>
    </row>
    <row r="12" spans="1:12" ht="30" customHeight="1" x14ac:dyDescent="0.2">
      <c r="A12" s="1" t="s">
        <v>45</v>
      </c>
      <c r="B12" s="2" t="s">
        <v>46</v>
      </c>
      <c r="C12" s="2" t="s">
        <v>46</v>
      </c>
      <c r="D12" s="2" t="s">
        <v>16</v>
      </c>
      <c r="E12" s="3">
        <v>46119</v>
      </c>
      <c r="F12" s="3">
        <v>46121</v>
      </c>
      <c r="G12" s="1" t="s">
        <v>42</v>
      </c>
      <c r="H12" s="15">
        <v>100</v>
      </c>
      <c r="I12" s="15">
        <v>100</v>
      </c>
      <c r="J12" s="15">
        <f t="shared" si="0"/>
        <v>0</v>
      </c>
      <c r="K12" s="1">
        <v>32</v>
      </c>
      <c r="L12" s="2" t="s">
        <v>47</v>
      </c>
    </row>
    <row r="13" spans="1:12" ht="30" customHeight="1" x14ac:dyDescent="0.2">
      <c r="A13" s="4" t="s">
        <v>48</v>
      </c>
      <c r="B13" s="5"/>
      <c r="C13" s="5" t="s">
        <v>49</v>
      </c>
      <c r="D13" s="5" t="s">
        <v>29</v>
      </c>
      <c r="E13" s="6">
        <v>46119</v>
      </c>
      <c r="F13" s="6">
        <v>46119</v>
      </c>
      <c r="G13" s="4" t="s">
        <v>42</v>
      </c>
      <c r="H13" s="16">
        <v>100</v>
      </c>
      <c r="I13" s="16">
        <v>100</v>
      </c>
      <c r="J13" s="16">
        <f t="shared" si="0"/>
        <v>0</v>
      </c>
      <c r="K13" s="4">
        <v>8</v>
      </c>
      <c r="L13" s="5" t="s">
        <v>50</v>
      </c>
    </row>
    <row r="14" spans="1:12" ht="30" customHeight="1" x14ac:dyDescent="0.2">
      <c r="A14" s="7" t="s">
        <v>51</v>
      </c>
      <c r="B14" s="8"/>
      <c r="C14" s="8" t="s">
        <v>52</v>
      </c>
      <c r="D14" s="8" t="s">
        <v>25</v>
      </c>
      <c r="E14" s="9">
        <v>46119</v>
      </c>
      <c r="F14" s="9">
        <v>46120</v>
      </c>
      <c r="G14" s="7" t="s">
        <v>42</v>
      </c>
      <c r="H14" s="17">
        <v>100</v>
      </c>
      <c r="I14" s="17">
        <v>100</v>
      </c>
      <c r="J14" s="17">
        <f t="shared" si="0"/>
        <v>0</v>
      </c>
      <c r="K14" s="7">
        <v>8</v>
      </c>
      <c r="L14" s="8" t="s">
        <v>53</v>
      </c>
    </row>
    <row r="15" spans="1:12" ht="30" customHeight="1" x14ac:dyDescent="0.2">
      <c r="A15" s="4" t="s">
        <v>54</v>
      </c>
      <c r="B15" s="5"/>
      <c r="C15" s="5" t="s">
        <v>55</v>
      </c>
      <c r="D15" s="5" t="s">
        <v>36</v>
      </c>
      <c r="E15" s="6">
        <v>46120</v>
      </c>
      <c r="F15" s="6">
        <v>46120</v>
      </c>
      <c r="G15" s="4" t="s">
        <v>51</v>
      </c>
      <c r="H15" s="16">
        <v>100</v>
      </c>
      <c r="I15" s="16">
        <v>100</v>
      </c>
      <c r="J15" s="16">
        <f t="shared" si="0"/>
        <v>0</v>
      </c>
      <c r="K15" s="4">
        <v>8</v>
      </c>
      <c r="L15" s="5" t="s">
        <v>56</v>
      </c>
    </row>
    <row r="16" spans="1:12" ht="30" customHeight="1" x14ac:dyDescent="0.2">
      <c r="A16" s="7" t="s">
        <v>57</v>
      </c>
      <c r="B16" s="8"/>
      <c r="C16" s="8" t="s">
        <v>58</v>
      </c>
      <c r="D16" s="8" t="s">
        <v>40</v>
      </c>
      <c r="E16" s="9">
        <v>46121</v>
      </c>
      <c r="F16" s="9">
        <v>46121</v>
      </c>
      <c r="G16" s="7" t="s">
        <v>54</v>
      </c>
      <c r="H16" s="17">
        <v>100</v>
      </c>
      <c r="I16" s="17">
        <v>100</v>
      </c>
      <c r="J16" s="17">
        <f t="shared" si="0"/>
        <v>0</v>
      </c>
      <c r="K16" s="7">
        <v>8</v>
      </c>
      <c r="L16" s="8" t="s">
        <v>59</v>
      </c>
    </row>
    <row r="17" spans="1:12" ht="30" customHeight="1" x14ac:dyDescent="0.2">
      <c r="A17" s="10" t="s">
        <v>60</v>
      </c>
      <c r="B17" s="11"/>
      <c r="C17" s="11" t="s">
        <v>61</v>
      </c>
      <c r="D17" s="11" t="s">
        <v>21</v>
      </c>
      <c r="E17" s="12">
        <v>46121</v>
      </c>
      <c r="F17" s="12">
        <v>46121</v>
      </c>
      <c r="G17" s="10" t="s">
        <v>57</v>
      </c>
      <c r="H17" s="18">
        <v>100</v>
      </c>
      <c r="I17" s="18">
        <v>100</v>
      </c>
      <c r="J17" s="18">
        <f t="shared" si="0"/>
        <v>0</v>
      </c>
      <c r="K17" s="10">
        <v>0</v>
      </c>
      <c r="L17" s="11" t="s">
        <v>62</v>
      </c>
    </row>
    <row r="18" spans="1:12" ht="30" customHeight="1" x14ac:dyDescent="0.2">
      <c r="A18" s="1" t="s">
        <v>63</v>
      </c>
      <c r="B18" s="2" t="s">
        <v>64</v>
      </c>
      <c r="C18" s="2" t="s">
        <v>64</v>
      </c>
      <c r="D18" s="2" t="s">
        <v>16</v>
      </c>
      <c r="E18" s="3">
        <v>46122</v>
      </c>
      <c r="F18" s="3">
        <v>46146</v>
      </c>
      <c r="G18" s="1" t="s">
        <v>60</v>
      </c>
      <c r="H18" s="15">
        <v>100</v>
      </c>
      <c r="I18" s="15">
        <v>69</v>
      </c>
      <c r="J18" s="19">
        <f t="shared" si="0"/>
        <v>-31</v>
      </c>
      <c r="K18" s="1">
        <v>88</v>
      </c>
      <c r="L18" s="2" t="s">
        <v>65</v>
      </c>
    </row>
    <row r="19" spans="1:12" ht="30" customHeight="1" x14ac:dyDescent="0.2">
      <c r="A19" s="4" t="s">
        <v>66</v>
      </c>
      <c r="B19" s="5"/>
      <c r="C19" s="5" t="s">
        <v>67</v>
      </c>
      <c r="D19" s="5" t="s">
        <v>40</v>
      </c>
      <c r="E19" s="6">
        <v>46122</v>
      </c>
      <c r="F19" s="6">
        <v>46128</v>
      </c>
      <c r="G19" s="4" t="s">
        <v>60</v>
      </c>
      <c r="H19" s="16">
        <v>100</v>
      </c>
      <c r="I19" s="16">
        <v>100</v>
      </c>
      <c r="J19" s="16">
        <f t="shared" si="0"/>
        <v>0</v>
      </c>
      <c r="K19" s="4">
        <v>16</v>
      </c>
      <c r="L19" s="5" t="s">
        <v>68</v>
      </c>
    </row>
    <row r="20" spans="1:12" ht="30" customHeight="1" x14ac:dyDescent="0.2">
      <c r="A20" s="7" t="s">
        <v>69</v>
      </c>
      <c r="B20" s="8"/>
      <c r="C20" s="8" t="s">
        <v>70</v>
      </c>
      <c r="D20" s="8" t="s">
        <v>21</v>
      </c>
      <c r="E20" s="9">
        <v>46129</v>
      </c>
      <c r="F20" s="9">
        <v>46132</v>
      </c>
      <c r="G20" s="7" t="s">
        <v>66</v>
      </c>
      <c r="H20" s="17">
        <v>100</v>
      </c>
      <c r="I20" s="17">
        <v>100</v>
      </c>
      <c r="J20" s="17">
        <f t="shared" si="0"/>
        <v>0</v>
      </c>
      <c r="K20" s="7">
        <v>8</v>
      </c>
      <c r="L20" s="8" t="s">
        <v>71</v>
      </c>
    </row>
    <row r="21" spans="1:12" ht="30" customHeight="1" x14ac:dyDescent="0.2">
      <c r="A21" s="4" t="s">
        <v>72</v>
      </c>
      <c r="B21" s="5"/>
      <c r="C21" s="5" t="s">
        <v>73</v>
      </c>
      <c r="D21" s="5" t="s">
        <v>40</v>
      </c>
      <c r="E21" s="6">
        <v>46133</v>
      </c>
      <c r="F21" s="6">
        <v>46134</v>
      </c>
      <c r="G21" s="4" t="s">
        <v>69</v>
      </c>
      <c r="H21" s="16">
        <v>100</v>
      </c>
      <c r="I21" s="16">
        <v>100</v>
      </c>
      <c r="J21" s="16">
        <f t="shared" si="0"/>
        <v>0</v>
      </c>
      <c r="K21" s="4">
        <v>8</v>
      </c>
      <c r="L21" s="5" t="s">
        <v>74</v>
      </c>
    </row>
    <row r="22" spans="1:12" ht="30" customHeight="1" x14ac:dyDescent="0.2">
      <c r="A22" s="7" t="s">
        <v>75</v>
      </c>
      <c r="B22" s="8"/>
      <c r="C22" s="8" t="s">
        <v>76</v>
      </c>
      <c r="D22" s="8" t="s">
        <v>25</v>
      </c>
      <c r="E22" s="9">
        <v>46122</v>
      </c>
      <c r="F22" s="9">
        <v>46126</v>
      </c>
      <c r="G22" s="7" t="s">
        <v>60</v>
      </c>
      <c r="H22" s="17">
        <v>100</v>
      </c>
      <c r="I22" s="17">
        <v>100</v>
      </c>
      <c r="J22" s="17">
        <f t="shared" si="0"/>
        <v>0</v>
      </c>
      <c r="K22" s="7">
        <v>8</v>
      </c>
      <c r="L22" s="8" t="s">
        <v>77</v>
      </c>
    </row>
    <row r="23" spans="1:12" ht="30" customHeight="1" x14ac:dyDescent="0.2">
      <c r="A23" s="4" t="s">
        <v>78</v>
      </c>
      <c r="B23" s="5"/>
      <c r="C23" s="5" t="s">
        <v>79</v>
      </c>
      <c r="D23" s="5" t="s">
        <v>36</v>
      </c>
      <c r="E23" s="6">
        <v>46135</v>
      </c>
      <c r="F23" s="6">
        <v>46139</v>
      </c>
      <c r="G23" s="4" t="s">
        <v>75</v>
      </c>
      <c r="H23" s="16">
        <v>100</v>
      </c>
      <c r="I23" s="16">
        <v>60</v>
      </c>
      <c r="J23" s="20">
        <f t="shared" si="0"/>
        <v>-40</v>
      </c>
      <c r="K23" s="4">
        <v>8</v>
      </c>
      <c r="L23" s="5" t="s">
        <v>80</v>
      </c>
    </row>
    <row r="24" spans="1:12" ht="30" customHeight="1" x14ac:dyDescent="0.2">
      <c r="A24" s="7" t="s">
        <v>81</v>
      </c>
      <c r="B24" s="8"/>
      <c r="C24" s="8" t="s">
        <v>82</v>
      </c>
      <c r="D24" s="8" t="s">
        <v>29</v>
      </c>
      <c r="E24" s="9">
        <v>46140</v>
      </c>
      <c r="F24" s="9">
        <v>46143</v>
      </c>
      <c r="G24" s="7" t="s">
        <v>78</v>
      </c>
      <c r="H24" s="17">
        <v>100</v>
      </c>
      <c r="I24" s="17">
        <v>50</v>
      </c>
      <c r="J24" s="20">
        <f t="shared" si="0"/>
        <v>-50</v>
      </c>
      <c r="K24" s="7">
        <v>24</v>
      </c>
      <c r="L24" s="8" t="s">
        <v>83</v>
      </c>
    </row>
    <row r="25" spans="1:12" ht="30" customHeight="1" x14ac:dyDescent="0.2">
      <c r="A25" s="4" t="s">
        <v>84</v>
      </c>
      <c r="B25" s="5"/>
      <c r="C25" s="5" t="s">
        <v>85</v>
      </c>
      <c r="D25" s="5" t="s">
        <v>36</v>
      </c>
      <c r="E25" s="6">
        <v>46144</v>
      </c>
      <c r="F25" s="6">
        <v>46145</v>
      </c>
      <c r="G25" s="4" t="s">
        <v>81</v>
      </c>
      <c r="H25" s="16">
        <v>100</v>
      </c>
      <c r="I25" s="16">
        <v>50</v>
      </c>
      <c r="J25" s="20">
        <f t="shared" si="0"/>
        <v>-50</v>
      </c>
      <c r="K25" s="4">
        <v>8</v>
      </c>
      <c r="L25" s="5" t="s">
        <v>86</v>
      </c>
    </row>
    <row r="26" spans="1:12" ht="30" customHeight="1" x14ac:dyDescent="0.2">
      <c r="A26" s="7" t="s">
        <v>87</v>
      </c>
      <c r="B26" s="8"/>
      <c r="C26" s="8" t="s">
        <v>88</v>
      </c>
      <c r="D26" s="8" t="s">
        <v>25</v>
      </c>
      <c r="E26" s="9">
        <v>46145</v>
      </c>
      <c r="F26" s="9">
        <v>46146</v>
      </c>
      <c r="G26" s="7" t="s">
        <v>84</v>
      </c>
      <c r="H26" s="17">
        <v>100</v>
      </c>
      <c r="I26" s="17">
        <v>0</v>
      </c>
      <c r="J26" s="20">
        <f t="shared" si="0"/>
        <v>-100</v>
      </c>
      <c r="K26" s="7">
        <v>8</v>
      </c>
      <c r="L26" s="8" t="s">
        <v>89</v>
      </c>
    </row>
    <row r="27" spans="1:12" ht="30" customHeight="1" x14ac:dyDescent="0.2">
      <c r="A27" s="1" t="s">
        <v>90</v>
      </c>
      <c r="B27" s="2" t="s">
        <v>91</v>
      </c>
      <c r="C27" s="2" t="s">
        <v>91</v>
      </c>
      <c r="D27" s="2" t="s">
        <v>16</v>
      </c>
      <c r="E27" s="3">
        <v>46148</v>
      </c>
      <c r="F27" s="3">
        <v>46174</v>
      </c>
      <c r="G27" s="1" t="s">
        <v>87</v>
      </c>
      <c r="H27" s="15">
        <v>0</v>
      </c>
      <c r="I27" s="15">
        <v>0</v>
      </c>
      <c r="J27" s="15">
        <f t="shared" si="0"/>
        <v>0</v>
      </c>
      <c r="K27" s="1">
        <v>64</v>
      </c>
      <c r="L27" s="2" t="s">
        <v>92</v>
      </c>
    </row>
    <row r="28" spans="1:12" ht="30" customHeight="1" x14ac:dyDescent="0.2">
      <c r="A28" s="7" t="s">
        <v>93</v>
      </c>
      <c r="B28" s="8"/>
      <c r="C28" s="8" t="s">
        <v>94</v>
      </c>
      <c r="D28" s="8" t="s">
        <v>29</v>
      </c>
      <c r="E28" s="9">
        <v>46148</v>
      </c>
      <c r="F28" s="9">
        <v>46153</v>
      </c>
      <c r="G28" s="7" t="s">
        <v>87</v>
      </c>
      <c r="H28" s="17">
        <v>0</v>
      </c>
      <c r="I28" s="17">
        <v>0</v>
      </c>
      <c r="J28" s="17">
        <f t="shared" si="0"/>
        <v>0</v>
      </c>
      <c r="K28" s="7">
        <v>8</v>
      </c>
      <c r="L28" s="8" t="s">
        <v>95</v>
      </c>
    </row>
    <row r="29" spans="1:12" ht="30" customHeight="1" x14ac:dyDescent="0.2">
      <c r="A29" s="4" t="s">
        <v>96</v>
      </c>
      <c r="B29" s="5"/>
      <c r="C29" s="5" t="s">
        <v>97</v>
      </c>
      <c r="D29" s="5" t="s">
        <v>25</v>
      </c>
      <c r="E29" s="6">
        <v>46154</v>
      </c>
      <c r="F29" s="6">
        <v>46157</v>
      </c>
      <c r="G29" s="4" t="s">
        <v>93</v>
      </c>
      <c r="H29" s="16">
        <v>0</v>
      </c>
      <c r="I29" s="16">
        <v>0</v>
      </c>
      <c r="J29" s="16">
        <f t="shared" si="0"/>
        <v>0</v>
      </c>
      <c r="K29" s="4">
        <v>8</v>
      </c>
      <c r="L29" s="5" t="s">
        <v>98</v>
      </c>
    </row>
    <row r="30" spans="1:12" ht="30" customHeight="1" x14ac:dyDescent="0.2">
      <c r="A30" s="7" t="s">
        <v>99</v>
      </c>
      <c r="B30" s="8"/>
      <c r="C30" s="8" t="s">
        <v>100</v>
      </c>
      <c r="D30" s="8" t="s">
        <v>21</v>
      </c>
      <c r="E30" s="9">
        <v>46158</v>
      </c>
      <c r="F30" s="9">
        <v>46164</v>
      </c>
      <c r="G30" s="7" t="s">
        <v>96</v>
      </c>
      <c r="H30" s="17">
        <v>0</v>
      </c>
      <c r="I30" s="17">
        <v>0</v>
      </c>
      <c r="J30" s="17">
        <f t="shared" si="0"/>
        <v>0</v>
      </c>
      <c r="K30" s="7">
        <v>24</v>
      </c>
      <c r="L30" s="8" t="s">
        <v>101</v>
      </c>
    </row>
    <row r="31" spans="1:12" ht="30" customHeight="1" x14ac:dyDescent="0.2">
      <c r="A31" s="4" t="s">
        <v>102</v>
      </c>
      <c r="B31" s="5"/>
      <c r="C31" s="5" t="s">
        <v>103</v>
      </c>
      <c r="D31" s="5" t="s">
        <v>36</v>
      </c>
      <c r="E31" s="6">
        <v>46165</v>
      </c>
      <c r="F31" s="6">
        <v>46167</v>
      </c>
      <c r="G31" s="4" t="s">
        <v>99</v>
      </c>
      <c r="H31" s="16">
        <v>0</v>
      </c>
      <c r="I31" s="16">
        <v>0</v>
      </c>
      <c r="J31" s="16">
        <f t="shared" si="0"/>
        <v>0</v>
      </c>
      <c r="K31" s="4">
        <v>8</v>
      </c>
      <c r="L31" s="5" t="s">
        <v>104</v>
      </c>
    </row>
    <row r="32" spans="1:12" ht="30" customHeight="1" x14ac:dyDescent="0.2">
      <c r="A32" s="7" t="s">
        <v>105</v>
      </c>
      <c r="B32" s="8"/>
      <c r="C32" s="8" t="s">
        <v>106</v>
      </c>
      <c r="D32" s="8" t="s">
        <v>40</v>
      </c>
      <c r="E32" s="9">
        <v>46168</v>
      </c>
      <c r="F32" s="9">
        <v>46169</v>
      </c>
      <c r="G32" s="7" t="s">
        <v>102</v>
      </c>
      <c r="H32" s="17">
        <v>0</v>
      </c>
      <c r="I32" s="17">
        <v>0</v>
      </c>
      <c r="J32" s="17">
        <f t="shared" si="0"/>
        <v>0</v>
      </c>
      <c r="K32" s="7">
        <v>8</v>
      </c>
      <c r="L32" s="8" t="s">
        <v>107</v>
      </c>
    </row>
    <row r="33" spans="1:12" ht="30" customHeight="1" x14ac:dyDescent="0.2">
      <c r="A33" s="4" t="s">
        <v>108</v>
      </c>
      <c r="B33" s="5"/>
      <c r="C33" s="5" t="s">
        <v>109</v>
      </c>
      <c r="D33" s="5" t="s">
        <v>29</v>
      </c>
      <c r="E33" s="6">
        <v>46170</v>
      </c>
      <c r="F33" s="6">
        <v>46172</v>
      </c>
      <c r="G33" s="4" t="s">
        <v>105</v>
      </c>
      <c r="H33" s="16">
        <v>0</v>
      </c>
      <c r="I33" s="16">
        <v>0</v>
      </c>
      <c r="J33" s="16">
        <f t="shared" si="0"/>
        <v>0</v>
      </c>
      <c r="K33" s="4">
        <v>8</v>
      </c>
      <c r="L33" s="5" t="s">
        <v>110</v>
      </c>
    </row>
    <row r="34" spans="1:12" ht="30" customHeight="1" x14ac:dyDescent="0.2">
      <c r="A34" s="10" t="s">
        <v>111</v>
      </c>
      <c r="B34" s="11"/>
      <c r="C34" s="11" t="s">
        <v>112</v>
      </c>
      <c r="D34" s="11" t="s">
        <v>21</v>
      </c>
      <c r="E34" s="12">
        <v>46174</v>
      </c>
      <c r="F34" s="12">
        <v>46174</v>
      </c>
      <c r="G34" s="10" t="s">
        <v>108</v>
      </c>
      <c r="H34" s="18">
        <v>0</v>
      </c>
      <c r="I34" s="18">
        <v>0</v>
      </c>
      <c r="J34" s="18">
        <f t="shared" si="0"/>
        <v>0</v>
      </c>
      <c r="K34" s="10">
        <v>0</v>
      </c>
      <c r="L34" s="11" t="s">
        <v>113</v>
      </c>
    </row>
    <row r="35" spans="1:12" ht="30" customHeight="1" x14ac:dyDescent="0.2">
      <c r="A35" s="1" t="s">
        <v>114</v>
      </c>
      <c r="B35" s="2" t="s">
        <v>115</v>
      </c>
      <c r="C35" s="2" t="s">
        <v>115</v>
      </c>
      <c r="D35" s="2" t="s">
        <v>16</v>
      </c>
      <c r="E35" s="3">
        <v>46175</v>
      </c>
      <c r="F35" s="3">
        <v>46185</v>
      </c>
      <c r="G35" s="1" t="s">
        <v>111</v>
      </c>
      <c r="H35" s="15">
        <v>0</v>
      </c>
      <c r="I35" s="15">
        <v>0</v>
      </c>
      <c r="J35" s="15">
        <f t="shared" si="0"/>
        <v>0</v>
      </c>
      <c r="K35" s="1">
        <v>32</v>
      </c>
      <c r="L35" s="2" t="s">
        <v>116</v>
      </c>
    </row>
    <row r="36" spans="1:12" ht="30" customHeight="1" x14ac:dyDescent="0.2">
      <c r="A36" s="7" t="s">
        <v>117</v>
      </c>
      <c r="B36" s="8"/>
      <c r="C36" s="8" t="s">
        <v>118</v>
      </c>
      <c r="D36" s="8" t="s">
        <v>21</v>
      </c>
      <c r="E36" s="9">
        <v>46175</v>
      </c>
      <c r="F36" s="9">
        <v>46177</v>
      </c>
      <c r="G36" s="7" t="s">
        <v>111</v>
      </c>
      <c r="H36" s="17">
        <v>0</v>
      </c>
      <c r="I36" s="17">
        <v>0</v>
      </c>
      <c r="J36" s="17">
        <f t="shared" si="0"/>
        <v>0</v>
      </c>
      <c r="K36" s="7">
        <v>8</v>
      </c>
      <c r="L36" s="8" t="s">
        <v>119</v>
      </c>
    </row>
    <row r="37" spans="1:12" ht="30" customHeight="1" x14ac:dyDescent="0.2">
      <c r="A37" s="4" t="s">
        <v>120</v>
      </c>
      <c r="B37" s="5"/>
      <c r="C37" s="5" t="s">
        <v>121</v>
      </c>
      <c r="D37" s="5" t="s">
        <v>25</v>
      </c>
      <c r="E37" s="6">
        <v>46178</v>
      </c>
      <c r="F37" s="6">
        <v>46183</v>
      </c>
      <c r="G37" s="4" t="s">
        <v>117</v>
      </c>
      <c r="H37" s="16">
        <v>0</v>
      </c>
      <c r="I37" s="16">
        <v>0</v>
      </c>
      <c r="J37" s="16">
        <f t="shared" si="0"/>
        <v>0</v>
      </c>
      <c r="K37" s="4">
        <v>16</v>
      </c>
      <c r="L37" s="5" t="s">
        <v>122</v>
      </c>
    </row>
    <row r="38" spans="1:12" ht="30" customHeight="1" x14ac:dyDescent="0.2">
      <c r="A38" s="7" t="s">
        <v>123</v>
      </c>
      <c r="B38" s="8"/>
      <c r="C38" s="8" t="s">
        <v>124</v>
      </c>
      <c r="D38" s="8" t="s">
        <v>36</v>
      </c>
      <c r="E38" s="9">
        <v>46184</v>
      </c>
      <c r="F38" s="9">
        <v>46185</v>
      </c>
      <c r="G38" s="7" t="s">
        <v>120</v>
      </c>
      <c r="H38" s="17">
        <v>0</v>
      </c>
      <c r="I38" s="17">
        <v>0</v>
      </c>
      <c r="J38" s="17">
        <f t="shared" si="0"/>
        <v>0</v>
      </c>
      <c r="K38" s="7">
        <v>8</v>
      </c>
      <c r="L38" s="8" t="s">
        <v>125</v>
      </c>
    </row>
    <row r="39" spans="1:12" ht="30" customHeight="1" x14ac:dyDescent="0.2">
      <c r="A39" s="1" t="s">
        <v>126</v>
      </c>
      <c r="B39" s="2" t="s">
        <v>127</v>
      </c>
      <c r="C39" s="2" t="s">
        <v>127</v>
      </c>
      <c r="D39" s="2" t="s">
        <v>16</v>
      </c>
      <c r="E39" s="3">
        <v>46186</v>
      </c>
      <c r="F39" s="3">
        <v>46192</v>
      </c>
      <c r="G39" s="1" t="s">
        <v>123</v>
      </c>
      <c r="H39" s="15">
        <v>0</v>
      </c>
      <c r="I39" s="15">
        <v>0</v>
      </c>
      <c r="J39" s="15">
        <f t="shared" si="0"/>
        <v>0</v>
      </c>
      <c r="K39" s="1">
        <v>16</v>
      </c>
      <c r="L39" s="2" t="s">
        <v>128</v>
      </c>
    </row>
    <row r="40" spans="1:12" ht="30" customHeight="1" x14ac:dyDescent="0.2">
      <c r="A40" s="7" t="s">
        <v>129</v>
      </c>
      <c r="B40" s="8"/>
      <c r="C40" s="8" t="s">
        <v>130</v>
      </c>
      <c r="D40" s="8" t="s">
        <v>40</v>
      </c>
      <c r="E40" s="9">
        <v>46186</v>
      </c>
      <c r="F40" s="9">
        <v>46189</v>
      </c>
      <c r="G40" s="7" t="s">
        <v>123</v>
      </c>
      <c r="H40" s="17">
        <v>0</v>
      </c>
      <c r="I40" s="17">
        <v>0</v>
      </c>
      <c r="J40" s="17">
        <f t="shared" si="0"/>
        <v>0</v>
      </c>
      <c r="K40" s="7">
        <v>8</v>
      </c>
      <c r="L40" s="8" t="s">
        <v>131</v>
      </c>
    </row>
    <row r="41" spans="1:12" ht="30" customHeight="1" x14ac:dyDescent="0.2">
      <c r="A41" s="4" t="s">
        <v>132</v>
      </c>
      <c r="B41" s="5"/>
      <c r="C41" s="5" t="s">
        <v>133</v>
      </c>
      <c r="D41" s="5" t="s">
        <v>29</v>
      </c>
      <c r="E41" s="6">
        <v>46189</v>
      </c>
      <c r="F41" s="6">
        <v>46191</v>
      </c>
      <c r="G41" s="4" t="s">
        <v>129</v>
      </c>
      <c r="H41" s="16">
        <v>0</v>
      </c>
      <c r="I41" s="16">
        <v>0</v>
      </c>
      <c r="J41" s="16">
        <f t="shared" si="0"/>
        <v>0</v>
      </c>
      <c r="K41" s="4">
        <v>8</v>
      </c>
      <c r="L41" s="5" t="s">
        <v>134</v>
      </c>
    </row>
    <row r="42" spans="1:12" ht="30" customHeight="1" x14ac:dyDescent="0.2">
      <c r="A42" s="1" t="s">
        <v>135</v>
      </c>
      <c r="B42" s="2" t="s">
        <v>136</v>
      </c>
      <c r="C42" s="2" t="s">
        <v>136</v>
      </c>
      <c r="D42" s="2" t="s">
        <v>16</v>
      </c>
      <c r="E42" s="3">
        <v>46193</v>
      </c>
      <c r="F42" s="3">
        <v>46197</v>
      </c>
      <c r="G42" s="1" t="s">
        <v>132</v>
      </c>
      <c r="H42" s="15">
        <v>0</v>
      </c>
      <c r="I42" s="15">
        <v>0</v>
      </c>
      <c r="J42" s="15">
        <f t="shared" si="0"/>
        <v>0</v>
      </c>
      <c r="K42" s="1">
        <v>16</v>
      </c>
      <c r="L42" s="2" t="s">
        <v>137</v>
      </c>
    </row>
    <row r="43" spans="1:12" ht="30" customHeight="1" x14ac:dyDescent="0.2">
      <c r="A43" s="4" t="s">
        <v>138</v>
      </c>
      <c r="B43" s="5"/>
      <c r="C43" s="5" t="s">
        <v>139</v>
      </c>
      <c r="D43" s="5" t="s">
        <v>29</v>
      </c>
      <c r="E43" s="6">
        <v>46193</v>
      </c>
      <c r="F43" s="6">
        <v>46195</v>
      </c>
      <c r="G43" s="4" t="s">
        <v>132</v>
      </c>
      <c r="H43" s="16">
        <v>0</v>
      </c>
      <c r="I43" s="16">
        <v>0</v>
      </c>
      <c r="J43" s="16">
        <f t="shared" si="0"/>
        <v>0</v>
      </c>
      <c r="K43" s="4">
        <v>16</v>
      </c>
      <c r="L43" s="5" t="s">
        <v>140</v>
      </c>
    </row>
    <row r="44" spans="1:12" ht="30" customHeight="1" x14ac:dyDescent="0.2">
      <c r="A44" s="10" t="s">
        <v>141</v>
      </c>
      <c r="B44" s="11"/>
      <c r="C44" s="11" t="s">
        <v>142</v>
      </c>
      <c r="D44" s="11" t="s">
        <v>21</v>
      </c>
      <c r="E44" s="12">
        <v>46197</v>
      </c>
      <c r="F44" s="12">
        <v>46197</v>
      </c>
      <c r="G44" s="10" t="s">
        <v>138</v>
      </c>
      <c r="H44" s="18">
        <v>0</v>
      </c>
      <c r="I44" s="18">
        <v>0</v>
      </c>
      <c r="J44" s="18">
        <f t="shared" si="0"/>
        <v>0</v>
      </c>
      <c r="K44" s="10">
        <v>0</v>
      </c>
      <c r="L44" s="11" t="s">
        <v>143</v>
      </c>
    </row>
    <row r="45" spans="1:12" ht="30" customHeight="1" x14ac:dyDescent="0.2">
      <c r="A45" s="13"/>
      <c r="B45" s="13"/>
      <c r="C45" s="13"/>
      <c r="D45" s="13"/>
      <c r="E45" s="13"/>
      <c r="F45" s="13"/>
      <c r="G45" s="14" t="s">
        <v>144</v>
      </c>
      <c r="H45" s="13"/>
      <c r="I45" s="13"/>
      <c r="J45" s="13"/>
      <c r="K45" s="14">
        <v>576</v>
      </c>
      <c r="L45" s="13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Fabián Dinamarca Cáceres</cp:lastModifiedBy>
  <dcterms:created xsi:type="dcterms:W3CDTF">2026-05-01T22:05:51Z</dcterms:created>
  <dcterms:modified xsi:type="dcterms:W3CDTF">2026-05-05T14:44:49Z</dcterms:modified>
</cp:coreProperties>
</file>